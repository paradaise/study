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Комплект основного оборудования" sheetId="1" state="visible" r:id="rId3"/>
    <sheet name="Кабели, трубы и фасонные издели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<sst xmlns="http://schemas.openxmlformats.org/spreadsheetml/2006/main" count="105" uniqueCount="64">
  <si>
    <t xml:space="preserve">Позиция</t>
  </si>
  <si>
    <t xml:space="preserve">Наименование и техническая характеристика оборудования и материалов</t>
  </si>
  <si>
    <t xml:space="preserve">Тип, марка, обозначение документа, опоросного листа</t>
  </si>
  <si>
    <t xml:space="preserve">Завод изготовитель</t>
  </si>
  <si>
    <t xml:space="preserve">Единица измерения</t>
  </si>
  <si>
    <t xml:space="preserve">Количество</t>
  </si>
  <si>
    <t xml:space="preserve">Стоимость единицы (руб)</t>
  </si>
  <si>
    <t xml:space="preserve">Суммарная стоимость (руб)</t>
  </si>
  <si>
    <t xml:space="preserve">Коммутатор 24х10/100 RJ45+2x1000 RJ45</t>
  </si>
  <si>
    <t xml:space="preserve">Baseline Switch 2126-G</t>
  </si>
  <si>
    <t xml:space="preserve">3COM</t>
  </si>
  <si>
    <t xml:space="preserve">шт</t>
  </si>
  <si>
    <t xml:space="preserve">Коммутатор 48х10/100 RJ45+2x1000 RJ45</t>
  </si>
  <si>
    <t xml:space="preserve">Baseline Switch 2250</t>
  </si>
  <si>
    <t xml:space="preserve">-</t>
  </si>
  <si>
    <t xml:space="preserve">Источник бесперебойного питания</t>
  </si>
  <si>
    <t xml:space="preserve">Back-UPS CS, 350VA/210W</t>
  </si>
  <si>
    <t xml:space="preserve">APC</t>
  </si>
  <si>
    <t xml:space="preserve">Шкаф 800x600x300 mm</t>
  </si>
  <si>
    <t xml:space="preserve">MAS 0806030</t>
  </si>
  <si>
    <t xml:space="preserve">ELDON</t>
  </si>
  <si>
    <t xml:space="preserve">Решетка вентиляционная 310х96 mm</t>
  </si>
  <si>
    <t xml:space="preserve">AFR02</t>
  </si>
  <si>
    <t xml:space="preserve">Кабельный канал перфорированный из самозатухающего пластика 60x60 mm</t>
  </si>
  <si>
    <t xml:space="preserve">T1 00108</t>
  </si>
  <si>
    <t xml:space="preserve">IBOCO</t>
  </si>
  <si>
    <t xml:space="preserve">Кабельный канал перфорированный из самозатухающего пластика 120x80 mm</t>
  </si>
  <si>
    <t xml:space="preserve">T1-EF 01131</t>
  </si>
  <si>
    <t xml:space="preserve">Выключатель автоматический однополюсный .</t>
  </si>
  <si>
    <t xml:space="preserve">C60N 24399 C6A</t>
  </si>
  <si>
    <t xml:space="preserve">Schneider Electric</t>
  </si>
  <si>
    <t xml:space="preserve">Клемник синий</t>
  </si>
  <si>
    <t xml:space="preserve">0125486.05</t>
  </si>
  <si>
    <t xml:space="preserve">ENTERLEC</t>
  </si>
  <si>
    <t xml:space="preserve">Клемник желто/зеленый</t>
  </si>
  <si>
    <t xml:space="preserve">0165488.27</t>
  </si>
  <si>
    <t xml:space="preserve">Концевой сегмент</t>
  </si>
  <si>
    <t xml:space="preserve">0118368.16</t>
  </si>
  <si>
    <t xml:space="preserve">DIN рельс 15x35 mm</t>
  </si>
  <si>
    <t xml:space="preserve">PP1535H</t>
  </si>
  <si>
    <t xml:space="preserve">Итого:</t>
  </si>
  <si>
    <t xml:space="preserve">Кабель UTP Cat.6</t>
  </si>
  <si>
    <t xml:space="preserve">UTP 4х2х0,5 LSZH</t>
  </si>
  <si>
    <t xml:space="preserve">NEXANS</t>
  </si>
  <si>
    <t xml:space="preserve">м</t>
  </si>
  <si>
    <t xml:space="preserve">Кабель STP Cat.6</t>
  </si>
  <si>
    <t xml:space="preserve">STP 4х2х0,5 LSZH</t>
  </si>
  <si>
    <t xml:space="preserve">Короб ПВХ 120х80 мм.</t>
  </si>
  <si>
    <t xml:space="preserve">ABB Luca System
</t>
  </si>
  <si>
    <t xml:space="preserve">Лоток металлический оцинкованный 100х50 мм.</t>
  </si>
  <si>
    <t xml:space="preserve">ЗАО "ДКС" г. Тверь</t>
  </si>
  <si>
    <t xml:space="preserve">Крепление лотка потолочное SSM.</t>
  </si>
  <si>
    <t xml:space="preserve">Консоль ML универсальная, облегченная.</t>
  </si>
  <si>
    <t xml:space="preserve">Труба гибкая гофрированная легкая со стальной протяжкой, диаметром 16mm.</t>
  </si>
  <si>
    <t xml:space="preserve">Коробка установочная скрытой установки в гипсокартон</t>
  </si>
  <si>
    <t xml:space="preserve">Tyco 10172</t>
  </si>
  <si>
    <t xml:space="preserve">ЗАО "Рувинил" г.Москва</t>
  </si>
  <si>
    <t xml:space="preserve">Механизм компьютерной розетки экранированный Cat.5 серии ARCUS</t>
  </si>
  <si>
    <t xml:space="preserve">PID-C5,8Kb2</t>
  </si>
  <si>
    <t xml:space="preserve">PRODAX</t>
  </si>
  <si>
    <t xml:space="preserve">Рамка одноместная для компьютерной розетки серии ARCUS</t>
  </si>
  <si>
    <t xml:space="preserve">Pk-1,2(01)</t>
  </si>
  <si>
    <t xml:space="preserve">Накладка для компьютерной розетки серии ARCUS</t>
  </si>
  <si>
    <t xml:space="preserve">Pf-4,2(01)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</si>
</sst>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b val="true"/>
      <sz val="14"/>
      <color rgb="FF000000"/>
      <name val="Times New Roman"/>
      <family val="1"/>
      <charset val="204"/>
    </font>
    <font>
      <sz val="10"/>
      <color theme="1"/>
      <name val="Arial"/>
      <family val="0"/>
      <charset val="1"/>
    </font>
    <font>
      <sz val="12"/>
      <color theme="1"/>
      <name val="&quot;Times New Roman&quot;"/>
      <family val="0"/>
      <charset val="1"/>
    </font>
    <font>
      <b val="true"/>
      <sz val="14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B3CEFB"/>
      </patternFill>
    </fill>
    <fill>
      <patternFill patternType="solid">
        <fgColor theme="4" tint="0.5999"/>
        <bgColor rgb="FF90D7DD"/>
      </patternFill>
    </fill>
    <fill>
      <patternFill patternType="solid">
        <fgColor theme="0" tint="-0.25"/>
        <bgColor rgb="FFB3CEFB"/>
      </patternFill>
    </fill>
    <fill>
      <patternFill patternType="solid">
        <fgColor theme="9" tint="0.3999"/>
        <bgColor rgb="FFB3CE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3C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0D7D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12.5703125" defaultRowHeight="15.75" zeroHeight="false" outlineLevelRow="0" outlineLevelCol="0"/>
  <cols>
    <col collapsed="false" customWidth="true" hidden="false" outlineLevel="0" max="2" min="2" style="0" width="108.29"/>
    <col collapsed="false" customWidth="true" hidden="false" outlineLevel="0" max="3" min="3" style="0" width="38.57"/>
    <col collapsed="false" customWidth="true" hidden="false" outlineLevel="0" max="4" min="4" style="0" width="23.29"/>
    <col collapsed="false" customWidth="true" hidden="false" outlineLevel="0" max="5" min="5" style="0" width="13.71"/>
    <col collapsed="false" customWidth="true" hidden="false" outlineLevel="0" max="6" min="6" style="0" width="11.14"/>
    <col collapsed="false" customWidth="true" hidden="false" outlineLevel="0" max="7" min="7" style="0" width="15"/>
    <col collapsed="false" customWidth="true" hidden="false" outlineLevel="0" max="8" min="8" style="0" width="14"/>
  </cols>
  <sheetData>
    <row r="1" customFormat="false" ht="93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7.35" hidden="false" customHeight="false" outlineLevel="0" collapsed="false">
      <c r="A2" s="3" t="n">
        <v>1</v>
      </c>
      <c r="B2" s="4" t="s">
        <v>8</v>
      </c>
      <c r="C2" s="4" t="s">
        <v>9</v>
      </c>
      <c r="D2" s="4" t="s">
        <v>10</v>
      </c>
      <c r="E2" s="4" t="s">
        <v>11</v>
      </c>
      <c r="F2" s="4" t="n">
        <v>3</v>
      </c>
      <c r="G2" s="4" t="n">
        <v>30000</v>
      </c>
      <c r="H2" s="4" t="n">
        <f aca="false">G2*F2</f>
        <v>90000</v>
      </c>
    </row>
    <row r="3" customFormat="false" ht="17.35" hidden="false" customHeight="false" outlineLevel="0" collapsed="false">
      <c r="A3" s="3" t="n">
        <v>2</v>
      </c>
      <c r="B3" s="4" t="s">
        <v>12</v>
      </c>
      <c r="C3" s="4" t="s">
        <v>13</v>
      </c>
      <c r="D3" s="4" t="s">
        <v>14</v>
      </c>
      <c r="E3" s="4" t="s">
        <v>11</v>
      </c>
      <c r="F3" s="4" t="n">
        <v>1</v>
      </c>
      <c r="G3" s="4" t="n">
        <v>34000</v>
      </c>
      <c r="H3" s="4" t="n">
        <f aca="false">G3*F3</f>
        <v>34000</v>
      </c>
    </row>
    <row r="4" customFormat="false" ht="17.35" hidden="false" customHeight="false" outlineLevel="0" collapsed="false">
      <c r="A4" s="3" t="n">
        <v>3</v>
      </c>
      <c r="B4" s="4" t="s">
        <v>15</v>
      </c>
      <c r="C4" s="4" t="s">
        <v>16</v>
      </c>
      <c r="D4" s="4" t="s">
        <v>17</v>
      </c>
      <c r="E4" s="4" t="s">
        <v>11</v>
      </c>
      <c r="F4" s="4" t="n">
        <v>2</v>
      </c>
      <c r="G4" s="4" t="n">
        <v>15000</v>
      </c>
      <c r="H4" s="4" t="n">
        <f aca="false">G4*F4</f>
        <v>30000</v>
      </c>
    </row>
    <row r="5" customFormat="false" ht="17.35" hidden="false" customHeight="false" outlineLevel="0" collapsed="false">
      <c r="A5" s="3" t="n">
        <v>4</v>
      </c>
      <c r="B5" s="4" t="s">
        <v>18</v>
      </c>
      <c r="C5" s="4" t="s">
        <v>19</v>
      </c>
      <c r="D5" s="4" t="s">
        <v>20</v>
      </c>
      <c r="E5" s="4" t="s">
        <v>11</v>
      </c>
      <c r="F5" s="4" t="n">
        <v>2</v>
      </c>
      <c r="G5" s="4" t="n">
        <v>14000</v>
      </c>
      <c r="H5" s="4" t="n">
        <f aca="false">G5*F5</f>
        <v>28000</v>
      </c>
    </row>
    <row r="6" customFormat="false" ht="17.35" hidden="false" customHeight="false" outlineLevel="0" collapsed="false">
      <c r="A6" s="3" t="n">
        <v>5</v>
      </c>
      <c r="B6" s="4" t="s">
        <v>21</v>
      </c>
      <c r="C6" s="4" t="s">
        <v>22</v>
      </c>
      <c r="D6" s="4" t="s">
        <v>14</v>
      </c>
      <c r="E6" s="4" t="s">
        <v>11</v>
      </c>
      <c r="F6" s="4" t="n">
        <v>4</v>
      </c>
      <c r="G6" s="4" t="n">
        <v>500</v>
      </c>
      <c r="H6" s="4" t="n">
        <f aca="false">G6*F6</f>
        <v>2000</v>
      </c>
    </row>
    <row r="7" customFormat="false" ht="17.35" hidden="false" customHeight="false" outlineLevel="0" collapsed="false">
      <c r="A7" s="3" t="n">
        <v>6</v>
      </c>
      <c r="B7" s="4" t="s">
        <v>23</v>
      </c>
      <c r="C7" s="4" t="s">
        <v>24</v>
      </c>
      <c r="D7" s="4" t="s">
        <v>25</v>
      </c>
      <c r="E7" s="4" t="s">
        <v>11</v>
      </c>
      <c r="F7" s="4" t="n">
        <v>2</v>
      </c>
      <c r="G7" s="4" t="n">
        <v>100</v>
      </c>
      <c r="H7" s="4" t="n">
        <f aca="false">G7*F7</f>
        <v>200</v>
      </c>
    </row>
    <row r="8" customFormat="false" ht="17.35" hidden="false" customHeight="false" outlineLevel="0" collapsed="false">
      <c r="A8" s="3" t="n">
        <v>7</v>
      </c>
      <c r="B8" s="4" t="s">
        <v>26</v>
      </c>
      <c r="C8" s="4" t="s">
        <v>27</v>
      </c>
      <c r="D8" s="4" t="s">
        <v>14</v>
      </c>
      <c r="E8" s="4" t="s">
        <v>11</v>
      </c>
      <c r="F8" s="4" t="n">
        <v>2</v>
      </c>
      <c r="G8" s="4" t="n">
        <v>1000</v>
      </c>
      <c r="H8" s="4" t="n">
        <f aca="false">G8*F8</f>
        <v>2000</v>
      </c>
    </row>
    <row r="9" customFormat="false" ht="17.35" hidden="false" customHeight="false" outlineLevel="0" collapsed="false">
      <c r="A9" s="3" t="n">
        <v>8</v>
      </c>
      <c r="B9" s="4" t="s">
        <v>28</v>
      </c>
      <c r="C9" s="4" t="s">
        <v>29</v>
      </c>
      <c r="D9" s="4" t="s">
        <v>30</v>
      </c>
      <c r="E9" s="4" t="s">
        <v>11</v>
      </c>
      <c r="F9" s="4" t="n">
        <v>2</v>
      </c>
      <c r="G9" s="4" t="n">
        <v>150</v>
      </c>
      <c r="H9" s="4" t="n">
        <f aca="false">G9*F9</f>
        <v>300</v>
      </c>
    </row>
    <row r="10" customFormat="false" ht="17.35" hidden="false" customHeight="false" outlineLevel="0" collapsed="false">
      <c r="A10" s="3" t="n">
        <v>9</v>
      </c>
      <c r="B10" s="4" t="s">
        <v>31</v>
      </c>
      <c r="C10" s="4" t="s">
        <v>32</v>
      </c>
      <c r="D10" s="4" t="s">
        <v>33</v>
      </c>
      <c r="E10" s="4" t="s">
        <v>11</v>
      </c>
      <c r="F10" s="4" t="n">
        <v>2</v>
      </c>
      <c r="G10" s="4" t="n">
        <v>50</v>
      </c>
      <c r="H10" s="4" t="n">
        <f aca="false">G10*F10</f>
        <v>100</v>
      </c>
    </row>
    <row r="11" customFormat="false" ht="17.35" hidden="false" customHeight="false" outlineLevel="0" collapsed="false">
      <c r="A11" s="3" t="n">
        <v>10</v>
      </c>
      <c r="B11" s="4" t="s">
        <v>34</v>
      </c>
      <c r="C11" s="4" t="s">
        <v>35</v>
      </c>
      <c r="D11" s="4" t="s">
        <v>14</v>
      </c>
      <c r="E11" s="4" t="s">
        <v>11</v>
      </c>
      <c r="F11" s="4" t="n">
        <v>2</v>
      </c>
      <c r="G11" s="4" t="n">
        <v>50</v>
      </c>
      <c r="H11" s="4" t="n">
        <f aca="false">G11*F11</f>
        <v>100</v>
      </c>
    </row>
    <row r="12" customFormat="false" ht="17.35" hidden="false" customHeight="false" outlineLevel="0" collapsed="false">
      <c r="A12" s="3" t="n">
        <v>11</v>
      </c>
      <c r="B12" s="4" t="s">
        <v>36</v>
      </c>
      <c r="C12" s="4" t="s">
        <v>37</v>
      </c>
      <c r="D12" s="4" t="s">
        <v>14</v>
      </c>
      <c r="E12" s="4" t="s">
        <v>11</v>
      </c>
      <c r="F12" s="4" t="n">
        <v>2</v>
      </c>
      <c r="G12" s="4" t="n">
        <v>200</v>
      </c>
      <c r="H12" s="4" t="n">
        <f aca="false">G12*F12</f>
        <v>400</v>
      </c>
    </row>
    <row r="13" customFormat="false" ht="17.35" hidden="false" customHeight="false" outlineLevel="0" collapsed="false">
      <c r="A13" s="3" t="n">
        <v>12</v>
      </c>
      <c r="B13" s="4" t="s">
        <v>38</v>
      </c>
      <c r="C13" s="4" t="s">
        <v>39</v>
      </c>
      <c r="D13" s="4" t="s">
        <v>14</v>
      </c>
      <c r="E13" s="4" t="s">
        <v>11</v>
      </c>
      <c r="F13" s="4" t="n">
        <v>1</v>
      </c>
      <c r="G13" s="4" t="n">
        <v>3000</v>
      </c>
      <c r="H13" s="4" t="n">
        <f aca="false">G13*F13</f>
        <v>3000</v>
      </c>
    </row>
    <row r="15" customFormat="false" ht="15.75" hidden="false" customHeight="true" outlineLevel="0" collapsed="false">
      <c r="G15" s="5" t="s">
        <v>40</v>
      </c>
      <c r="H15" s="6" t="n">
        <f aca="false">SUM(H2:H13)</f>
        <v>190100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2.5703125" defaultRowHeight="15.75" zeroHeight="false" outlineLevelRow="0" outlineLevelCol="0"/>
  <cols>
    <col collapsed="false" customWidth="true" hidden="false" outlineLevel="0" max="2" min="2" style="0" width="93.85"/>
    <col collapsed="false" customWidth="true" hidden="false" outlineLevel="0" max="3" min="3" style="0" width="29.42"/>
    <col collapsed="false" customWidth="true" hidden="false" outlineLevel="0" max="4" min="4" style="0" width="31"/>
    <col collapsed="false" customWidth="true" hidden="false" outlineLevel="0" max="5" min="5" style="0" width="20.42"/>
    <col collapsed="false" customWidth="true" hidden="false" outlineLevel="0" max="6" min="6" style="0" width="19"/>
    <col collapsed="false" customWidth="true" hidden="false" outlineLevel="0" max="7" min="7" style="0" width="17"/>
    <col collapsed="false" customWidth="true" hidden="false" outlineLevel="0" max="8" min="8" style="0" width="21.29"/>
  </cols>
  <sheetData>
    <row r="1" customFormat="false" ht="48.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7.35" hidden="false" customHeight="false" outlineLevel="0" collapsed="false">
      <c r="A2" s="7" t="n">
        <v>1</v>
      </c>
      <c r="B2" s="4" t="s">
        <v>41</v>
      </c>
      <c r="C2" s="4" t="s">
        <v>42</v>
      </c>
      <c r="D2" s="4" t="s">
        <v>43</v>
      </c>
      <c r="E2" s="4" t="s">
        <v>44</v>
      </c>
      <c r="F2" s="4" t="n">
        <v>855</v>
      </c>
      <c r="G2" s="4" t="n">
        <v>50</v>
      </c>
      <c r="H2" s="4" t="n">
        <f aca="false">G2*F2</f>
        <v>42750</v>
      </c>
    </row>
    <row r="3" customFormat="false" ht="17.35" hidden="false" customHeight="false" outlineLevel="0" collapsed="false">
      <c r="A3" s="7" t="n">
        <v>2</v>
      </c>
      <c r="B3" s="4" t="s">
        <v>45</v>
      </c>
      <c r="C3" s="4" t="s">
        <v>46</v>
      </c>
      <c r="D3" s="4" t="s">
        <v>43</v>
      </c>
      <c r="E3" s="4" t="s">
        <v>44</v>
      </c>
      <c r="F3" s="4" t="n">
        <v>10</v>
      </c>
      <c r="G3" s="4" t="n">
        <v>150</v>
      </c>
      <c r="H3" s="4" t="n">
        <f aca="false">G3*F3</f>
        <v>1500</v>
      </c>
    </row>
    <row r="4" customFormat="false" ht="21" hidden="false" customHeight="true" outlineLevel="0" collapsed="false">
      <c r="A4" s="7" t="n">
        <v>3</v>
      </c>
      <c r="B4" s="4" t="s">
        <v>47</v>
      </c>
      <c r="C4" s="4" t="n">
        <v>43026</v>
      </c>
      <c r="D4" s="8" t="s">
        <v>48</v>
      </c>
      <c r="E4" s="4" t="s">
        <v>11</v>
      </c>
      <c r="F4" s="4" t="n">
        <v>3</v>
      </c>
      <c r="G4" s="4" t="n">
        <v>1300</v>
      </c>
      <c r="H4" s="4" t="n">
        <f aca="false">G4*F4</f>
        <v>3900</v>
      </c>
    </row>
    <row r="5" customFormat="false" ht="17.35" hidden="false" customHeight="false" outlineLevel="0" collapsed="false">
      <c r="A5" s="7" t="n">
        <v>4</v>
      </c>
      <c r="B5" s="4" t="s">
        <v>49</v>
      </c>
      <c r="C5" s="4" t="n">
        <v>35262</v>
      </c>
      <c r="D5" s="4" t="s">
        <v>50</v>
      </c>
      <c r="E5" s="4" t="s">
        <v>44</v>
      </c>
      <c r="F5" s="4" t="n">
        <v>120</v>
      </c>
      <c r="G5" s="4" t="n">
        <v>500</v>
      </c>
      <c r="H5" s="4" t="n">
        <f aca="false">G5*F5</f>
        <v>60000</v>
      </c>
    </row>
    <row r="6" customFormat="false" ht="17.35" hidden="false" customHeight="false" outlineLevel="0" collapsed="false">
      <c r="A6" s="7" t="n">
        <v>5</v>
      </c>
      <c r="B6" s="4" t="s">
        <v>51</v>
      </c>
      <c r="C6" s="4" t="n">
        <v>34143</v>
      </c>
      <c r="D6" s="4" t="s">
        <v>14</v>
      </c>
      <c r="E6" s="4" t="s">
        <v>11</v>
      </c>
      <c r="F6" s="4" t="n">
        <v>60</v>
      </c>
      <c r="G6" s="4" t="n">
        <v>1000</v>
      </c>
      <c r="H6" s="4" t="n">
        <f aca="false">G6*F6</f>
        <v>60000</v>
      </c>
    </row>
    <row r="7" customFormat="false" ht="17.35" hidden="false" customHeight="false" outlineLevel="0" collapsed="false">
      <c r="A7" s="7" t="n">
        <v>6</v>
      </c>
      <c r="B7" s="4" t="s">
        <v>52</v>
      </c>
      <c r="C7" s="4" t="n">
        <v>34105</v>
      </c>
      <c r="D7" s="4" t="s">
        <v>14</v>
      </c>
      <c r="E7" s="4" t="s">
        <v>11</v>
      </c>
      <c r="F7" s="4" t="n">
        <v>60</v>
      </c>
      <c r="G7" s="4" t="n">
        <v>1400</v>
      </c>
      <c r="H7" s="4" t="n">
        <f aca="false">G7*F7</f>
        <v>84000</v>
      </c>
    </row>
    <row r="8" customFormat="false" ht="17.35" hidden="false" customHeight="false" outlineLevel="0" collapsed="false">
      <c r="A8" s="7" t="n">
        <v>7</v>
      </c>
      <c r="B8" s="4" t="s">
        <v>53</v>
      </c>
      <c r="C8" s="4" t="n">
        <v>91916</v>
      </c>
      <c r="D8" s="4" t="s">
        <v>14</v>
      </c>
      <c r="E8" s="4" t="s">
        <v>44</v>
      </c>
      <c r="F8" s="4" t="n">
        <v>150</v>
      </c>
      <c r="G8" s="4" t="n">
        <v>40</v>
      </c>
      <c r="H8" s="4" t="n">
        <f aca="false">G8*F8</f>
        <v>6000</v>
      </c>
    </row>
    <row r="9" customFormat="false" ht="17.35" hidden="false" customHeight="false" outlineLevel="0" collapsed="false">
      <c r="A9" s="7" t="n">
        <v>8</v>
      </c>
      <c r="B9" s="4" t="s">
        <v>54</v>
      </c>
      <c r="C9" s="4" t="s">
        <v>55</v>
      </c>
      <c r="D9" s="4" t="s">
        <v>56</v>
      </c>
      <c r="E9" s="4" t="s">
        <v>11</v>
      </c>
      <c r="F9" s="4" t="n">
        <v>46</v>
      </c>
      <c r="G9" s="4" t="n">
        <v>50</v>
      </c>
      <c r="H9" s="4" t="n">
        <f aca="false">G9*F9</f>
        <v>2300</v>
      </c>
    </row>
    <row r="10" customFormat="false" ht="17.35" hidden="false" customHeight="false" outlineLevel="0" collapsed="false">
      <c r="A10" s="7" t="n">
        <v>9</v>
      </c>
      <c r="B10" s="4" t="s">
        <v>57</v>
      </c>
      <c r="C10" s="4" t="s">
        <v>58</v>
      </c>
      <c r="D10" s="4" t="s">
        <v>59</v>
      </c>
      <c r="E10" s="4" t="s">
        <v>11</v>
      </c>
      <c r="F10" s="4" t="n">
        <v>46</v>
      </c>
      <c r="G10" s="4" t="n">
        <v>600</v>
      </c>
      <c r="H10" s="4" t="n">
        <f aca="false">G10*F10</f>
        <v>27600</v>
      </c>
    </row>
    <row r="11" customFormat="false" ht="17.35" hidden="false" customHeight="false" outlineLevel="0" collapsed="false">
      <c r="A11" s="7" t="n">
        <v>10</v>
      </c>
      <c r="B11" s="4" t="s">
        <v>60</v>
      </c>
      <c r="C11" s="4" t="s">
        <v>61</v>
      </c>
      <c r="D11" s="4" t="s">
        <v>14</v>
      </c>
      <c r="E11" s="4" t="s">
        <v>11</v>
      </c>
      <c r="F11" s="4" t="n">
        <v>46</v>
      </c>
      <c r="G11" s="4" t="n">
        <v>300</v>
      </c>
      <c r="H11" s="4" t="n">
        <f aca="false">G11*F11</f>
        <v>13800</v>
      </c>
    </row>
    <row r="12" customFormat="false" ht="17.35" hidden="false" customHeight="false" outlineLevel="0" collapsed="false">
      <c r="A12" s="7" t="n">
        <v>11</v>
      </c>
      <c r="B12" s="4" t="s">
        <v>62</v>
      </c>
      <c r="C12" s="4" t="s">
        <v>63</v>
      </c>
      <c r="D12" s="4" t="s">
        <v>14</v>
      </c>
      <c r="E12" s="4" t="s">
        <v>11</v>
      </c>
      <c r="F12" s="4" t="n">
        <v>46</v>
      </c>
      <c r="G12" s="4" t="n">
        <v>100</v>
      </c>
      <c r="H12" s="4" t="n">
        <f aca="false">G12*F12</f>
        <v>4600</v>
      </c>
    </row>
    <row r="13" customFormat="false" ht="15.75" hidden="false" customHeight="false" outlineLevel="0" collapsed="false">
      <c r="A13" s="9"/>
      <c r="B13" s="9"/>
      <c r="C13" s="10"/>
      <c r="D13" s="9"/>
      <c r="E13" s="9"/>
      <c r="F13" s="9"/>
      <c r="G13" s="9"/>
      <c r="H13" s="9"/>
    </row>
    <row r="14" customFormat="false" ht="15.75" hidden="false" customHeight="true" outlineLevel="0" collapsed="false">
      <c r="G14" s="11" t="s">
        <v>40</v>
      </c>
      <c r="H14" s="6" t="n">
        <f aca="false">SUM(H2:H12)</f>
        <v>306450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2025-12-19T15:02:10Z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