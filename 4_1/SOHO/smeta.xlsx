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etek\Desktop\"/>
    </mc:Choice>
  </mc:AlternateContent>
  <xr:revisionPtr revIDLastSave="0" documentId="13_ncr:1_{F6D65B0E-C059-4506-A7B4-B61287B83A2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Комплект основного оборудования" sheetId="1" r:id="rId1"/>
    <sheet name="Кабели, трубы и фасонные издел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2" l="1"/>
  <c r="H15" i="1"/>
  <c r="H12" i="2"/>
  <c r="H11" i="2"/>
  <c r="H10" i="2"/>
  <c r="H9" i="2"/>
  <c r="H8" i="2"/>
  <c r="H7" i="2"/>
  <c r="H6" i="2"/>
  <c r="H5" i="2"/>
  <c r="H4" i="2"/>
  <c r="H3" i="2"/>
  <c r="H2" i="2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<sst xmlns="http://schemas.openxmlformats.org/spreadsheetml/2006/main" count="105" uniqueCount="64">
  <si>
    <t>Позиция</t>
  </si>
  <si>
    <t>Наименование и техническая характеристика оборудования и материалов</t>
  </si>
  <si>
    <t>Тип, марка, обозначение документа, опоросного листа</t>
  </si>
  <si>
    <t>Завод изготовитель</t>
  </si>
  <si>
    <t>Единица измерения</t>
  </si>
  <si>
    <t>Количество</t>
  </si>
  <si>
    <t>Стоимость единицы (руб)</t>
  </si>
  <si>
    <t>Суммарная стоимость (руб)</t>
  </si>
  <si>
    <t>Комутатор 24х10/100 RJ45+2x1000 RJ45</t>
  </si>
  <si>
    <t>Baseline Switch 2126-G</t>
  </si>
  <si>
    <t>3COM</t>
  </si>
  <si>
    <t>шт</t>
  </si>
  <si>
    <t>Комутатор 48х10/100 RJ45+2x1000 RJ45</t>
  </si>
  <si>
    <t>Baseline Switch 2250</t>
  </si>
  <si>
    <t>-</t>
  </si>
  <si>
    <t>Источник бесперебойного питания</t>
  </si>
  <si>
    <t>Back-UPS CS, 350VA/210W</t>
  </si>
  <si>
    <t>APC</t>
  </si>
  <si>
    <t>Шкаф 800x600x300 mm</t>
  </si>
  <si>
    <t>MAS 0806030</t>
  </si>
  <si>
    <t>ELDON</t>
  </si>
  <si>
    <t>Решотка вентиляционная 310х96 mm</t>
  </si>
  <si>
    <t>AFR02</t>
  </si>
  <si>
    <t>Кабельный канал перфорированный из самозатухающего пластика 60x60 mm</t>
  </si>
  <si>
    <t>T1 00108</t>
  </si>
  <si>
    <t>IBOCO</t>
  </si>
  <si>
    <t>Кабельный канал перфорированный из самозатухающего пластика 120x80 mm</t>
  </si>
  <si>
    <t>T1-EF 01131</t>
  </si>
  <si>
    <t>Выключатель автоматический однополюсный .</t>
  </si>
  <si>
    <t>C60N 24399 C6A</t>
  </si>
  <si>
    <t>Schneider Electric</t>
  </si>
  <si>
    <t>Клемник синий</t>
  </si>
  <si>
    <t>0125486.05</t>
  </si>
  <si>
    <t>ENTERLEC</t>
  </si>
  <si>
    <t>Клемник желто/зеленый</t>
  </si>
  <si>
    <t>0165488.27</t>
  </si>
  <si>
    <t>Концевой сигмент</t>
  </si>
  <si>
    <t>0118368.16</t>
  </si>
  <si>
    <t>DIN рельс 15x35 mm</t>
  </si>
  <si>
    <t>PP1535H</t>
  </si>
  <si>
    <t>Кабель UTP Cat.6</t>
  </si>
  <si>
    <t>UTP 4х2х0,5 LSZH</t>
  </si>
  <si>
    <t>NEXANS</t>
  </si>
  <si>
    <t>м</t>
  </si>
  <si>
    <t>Кабель STP Cat.6</t>
  </si>
  <si>
    <t>STP 4х2х0,5 LSZH</t>
  </si>
  <si>
    <t>Короб ПВХ 120х80 мм.</t>
  </si>
  <si>
    <t xml:space="preserve">ABB Luca System
</t>
  </si>
  <si>
    <t>Лоток металический оцинкованный 100х50 мм.</t>
  </si>
  <si>
    <t>ЗАО "ДКС" г. Тверь</t>
  </si>
  <si>
    <t>Крепление лотка потолочное SSM.</t>
  </si>
  <si>
    <t>Консоль ML универсальная, облегченная.</t>
  </si>
  <si>
    <t>Труба гибкая гофрированная легкая со стальной протяжкой, диаметром 16mm.</t>
  </si>
  <si>
    <t>Коробка установочная скрытой установки в гипсокартон</t>
  </si>
  <si>
    <t>Tyco 10172</t>
  </si>
  <si>
    <t>ЗАО "Рувинил" г.Москва</t>
  </si>
  <si>
    <t>Механизм компьютерной розетки экранированный Cat.5 серии ARCUS</t>
  </si>
  <si>
    <t>PID-C5,8Kb2</t>
  </si>
  <si>
    <t>PRODAX</t>
  </si>
  <si>
    <t>Рамка одноместная для компьютерной розетки серии ARCUS</t>
  </si>
  <si>
    <t>Pk-1,2(01)</t>
  </si>
  <si>
    <t>Накладка для компьютерной розетки серии ARCUS</t>
  </si>
  <si>
    <t>Pf-4,2(01)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</si>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</sst>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&quot;Times New Roman&quot;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4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/>
    <xf numFmtId="0" fontId="4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5"/>
  <sheetViews>
    <sheetView workbookViewId="0">
      <selection activeCell="E22" sqref="E22"/>
    </sheetView>
  </sheetViews>
  <sheetFormatPr defaultColWidth="12.5703125" defaultRowHeight="15.75" customHeight="1"/>
  <cols>
    <col min="2" max="2" width="108.28515625" customWidth="1"/>
    <col min="3" max="3" width="38.5703125" customWidth="1"/>
    <col min="4" max="4" width="23.28515625" customWidth="1"/>
    <col min="5" max="5" width="13.7109375" customWidth="1"/>
    <col min="6" max="6" width="11.140625" customWidth="1"/>
    <col min="7" max="7" width="15" customWidth="1"/>
    <col min="8" max="8" width="14" customWidth="1"/>
  </cols>
  <sheetData>
    <row r="1" spans="1:8" ht="93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8.75">
      <c r="A2" s="8">
        <v>1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3</v>
      </c>
      <c r="G2" s="5">
        <v>30000</v>
      </c>
      <c r="H2" s="5">
        <f t="shared" ref="H2:H13" si="0">G2*F2</f>
        <v>90000</v>
      </c>
    </row>
    <row r="3" spans="1:8" ht="18.75">
      <c r="A3" s="8">
        <v>2</v>
      </c>
      <c r="B3" s="5" t="s">
        <v>12</v>
      </c>
      <c r="C3" s="5" t="s">
        <v>13</v>
      </c>
      <c r="D3" s="5" t="s">
        <v>14</v>
      </c>
      <c r="E3" s="5" t="s">
        <v>11</v>
      </c>
      <c r="F3" s="5">
        <v>1</v>
      </c>
      <c r="G3" s="5">
        <v>34000</v>
      </c>
      <c r="H3" s="5">
        <f t="shared" si="0"/>
        <v>34000</v>
      </c>
    </row>
    <row r="4" spans="1:8" ht="18.75">
      <c r="A4" s="8">
        <v>3</v>
      </c>
      <c r="B4" s="5" t="s">
        <v>15</v>
      </c>
      <c r="C4" s="5" t="s">
        <v>16</v>
      </c>
      <c r="D4" s="5" t="s">
        <v>17</v>
      </c>
      <c r="E4" s="5" t="s">
        <v>11</v>
      </c>
      <c r="F4" s="5">
        <v>2</v>
      </c>
      <c r="G4" s="5">
        <v>15000</v>
      </c>
      <c r="H4" s="5">
        <f t="shared" si="0"/>
        <v>30000</v>
      </c>
    </row>
    <row r="5" spans="1:8" ht="18.75">
      <c r="A5" s="8">
        <v>4</v>
      </c>
      <c r="B5" s="5" t="s">
        <v>18</v>
      </c>
      <c r="C5" s="5" t="s">
        <v>19</v>
      </c>
      <c r="D5" s="5" t="s">
        <v>20</v>
      </c>
      <c r="E5" s="5" t="s">
        <v>11</v>
      </c>
      <c r="F5" s="5">
        <v>2</v>
      </c>
      <c r="G5" s="5">
        <v>14000</v>
      </c>
      <c r="H5" s="5">
        <f t="shared" si="0"/>
        <v>28000</v>
      </c>
    </row>
    <row r="6" spans="1:8" ht="18.75">
      <c r="A6" s="8">
        <v>5</v>
      </c>
      <c r="B6" s="5" t="s">
        <v>21</v>
      </c>
      <c r="C6" s="5" t="s">
        <v>22</v>
      </c>
      <c r="D6" s="5" t="s">
        <v>14</v>
      </c>
      <c r="E6" s="5" t="s">
        <v>11</v>
      </c>
      <c r="F6" s="5">
        <v>4</v>
      </c>
      <c r="G6" s="5">
        <v>500</v>
      </c>
      <c r="H6" s="5">
        <f t="shared" si="0"/>
        <v>2000</v>
      </c>
    </row>
    <row r="7" spans="1:8" ht="18.75">
      <c r="A7" s="8">
        <v>6</v>
      </c>
      <c r="B7" s="5" t="s">
        <v>23</v>
      </c>
      <c r="C7" s="5" t="s">
        <v>24</v>
      </c>
      <c r="D7" s="5" t="s">
        <v>25</v>
      </c>
      <c r="E7" s="5" t="s">
        <v>11</v>
      </c>
      <c r="F7" s="5">
        <v>2</v>
      </c>
      <c r="G7" s="5">
        <v>100</v>
      </c>
      <c r="H7" s="5">
        <f t="shared" si="0"/>
        <v>200</v>
      </c>
    </row>
    <row r="8" spans="1:8" ht="18.75">
      <c r="A8" s="8">
        <v>7</v>
      </c>
      <c r="B8" s="5" t="s">
        <v>26</v>
      </c>
      <c r="C8" s="5" t="s">
        <v>27</v>
      </c>
      <c r="D8" s="5" t="s">
        <v>14</v>
      </c>
      <c r="E8" s="5" t="s">
        <v>11</v>
      </c>
      <c r="F8" s="5">
        <v>2</v>
      </c>
      <c r="G8" s="5">
        <v>1000</v>
      </c>
      <c r="H8" s="5">
        <f t="shared" si="0"/>
        <v>2000</v>
      </c>
    </row>
    <row r="9" spans="1:8" ht="18.75">
      <c r="A9" s="8">
        <v>8</v>
      </c>
      <c r="B9" s="5" t="s">
        <v>28</v>
      </c>
      <c r="C9" s="5" t="s">
        <v>29</v>
      </c>
      <c r="D9" s="5" t="s">
        <v>30</v>
      </c>
      <c r="E9" s="5" t="s">
        <v>11</v>
      </c>
      <c r="F9" s="5">
        <v>2</v>
      </c>
      <c r="G9" s="5">
        <v>150</v>
      </c>
      <c r="H9" s="5">
        <f t="shared" si="0"/>
        <v>300</v>
      </c>
    </row>
    <row r="10" spans="1:8" ht="18.75">
      <c r="A10" s="8">
        <v>9</v>
      </c>
      <c r="B10" s="5" t="s">
        <v>31</v>
      </c>
      <c r="C10" s="5" t="s">
        <v>32</v>
      </c>
      <c r="D10" s="5" t="s">
        <v>33</v>
      </c>
      <c r="E10" s="5" t="s">
        <v>11</v>
      </c>
      <c r="F10" s="5">
        <v>2</v>
      </c>
      <c r="G10" s="5">
        <v>50</v>
      </c>
      <c r="H10" s="5">
        <f t="shared" si="0"/>
        <v>100</v>
      </c>
    </row>
    <row r="11" spans="1:8" ht="18.75">
      <c r="A11" s="8">
        <v>10</v>
      </c>
      <c r="B11" s="5" t="s">
        <v>34</v>
      </c>
      <c r="C11" s="5" t="s">
        <v>35</v>
      </c>
      <c r="D11" s="5" t="s">
        <v>14</v>
      </c>
      <c r="E11" s="5" t="s">
        <v>11</v>
      </c>
      <c r="F11" s="5">
        <v>2</v>
      </c>
      <c r="G11" s="5">
        <v>50</v>
      </c>
      <c r="H11" s="5">
        <f t="shared" si="0"/>
        <v>100</v>
      </c>
    </row>
    <row r="12" spans="1:8" ht="18.75">
      <c r="A12" s="8">
        <v>11</v>
      </c>
      <c r="B12" s="5" t="s">
        <v>36</v>
      </c>
      <c r="C12" s="5" t="s">
        <v>37</v>
      </c>
      <c r="D12" s="5" t="s">
        <v>14</v>
      </c>
      <c r="E12" s="5" t="s">
        <v>11</v>
      </c>
      <c r="F12" s="5">
        <v>2</v>
      </c>
      <c r="G12" s="5">
        <v>200</v>
      </c>
      <c r="H12" s="5">
        <f t="shared" si="0"/>
        <v>400</v>
      </c>
    </row>
    <row r="13" spans="1:8" ht="18.75">
      <c r="A13" s="8">
        <v>12</v>
      </c>
      <c r="B13" s="5" t="s">
        <v>38</v>
      </c>
      <c r="C13" s="5" t="s">
        <v>39</v>
      </c>
      <c r="D13" s="5" t="s">
        <v>14</v>
      </c>
      <c r="E13" s="5" t="s">
        <v>11</v>
      </c>
      <c r="F13" s="5">
        <v>1</v>
      </c>
      <c r="G13" s="5">
        <v>3000</v>
      </c>
      <c r="H13" s="5">
        <f t="shared" si="0"/>
        <v>3000</v>
      </c>
    </row>
    <row r="15" spans="1:8" ht="15.75" customHeight="1">
      <c r="G15" s="10" t="s">
        <v>63</v>
      </c>
      <c r="H15" s="9">
        <f>SUM(H2:H13)</f>
        <v>190100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4"/>
  <sheetViews>
    <sheetView tabSelected="1" workbookViewId="0">
      <selection activeCell="B16" sqref="B16"/>
    </sheetView>
  </sheetViews>
  <sheetFormatPr defaultColWidth="12.5703125" defaultRowHeight="15.75" customHeight="1"/>
  <cols>
    <col min="2" max="2" width="93.85546875" customWidth="1"/>
    <col min="3" max="3" width="29.42578125" customWidth="1"/>
    <col min="4" max="4" width="31" customWidth="1"/>
    <col min="5" max="5" width="20.42578125" customWidth="1"/>
    <col min="6" max="6" width="19" customWidth="1"/>
    <col min="7" max="7" width="17" customWidth="1"/>
    <col min="8" max="8" width="21.28515625" customWidth="1"/>
  </cols>
  <sheetData>
    <row r="1" spans="1:8" ht="7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8.75">
      <c r="A2" s="11">
        <v>1</v>
      </c>
      <c r="B2" s="5" t="s">
        <v>40</v>
      </c>
      <c r="C2" s="5" t="s">
        <v>41</v>
      </c>
      <c r="D2" s="5" t="s">
        <v>42</v>
      </c>
      <c r="E2" s="5" t="s">
        <v>43</v>
      </c>
      <c r="F2" s="5">
        <v>855</v>
      </c>
      <c r="G2" s="5">
        <v>50</v>
      </c>
      <c r="H2" s="5">
        <f t="shared" ref="H2:H12" si="0">G2*F2</f>
        <v>42750</v>
      </c>
    </row>
    <row r="3" spans="1:8" ht="18.75">
      <c r="A3" s="11">
        <v>2</v>
      </c>
      <c r="B3" s="5" t="s">
        <v>44</v>
      </c>
      <c r="C3" s="5" t="s">
        <v>45</v>
      </c>
      <c r="D3" s="5" t="s">
        <v>42</v>
      </c>
      <c r="E3" s="5" t="s">
        <v>43</v>
      </c>
      <c r="F3" s="5">
        <v>10</v>
      </c>
      <c r="G3" s="5">
        <v>150</v>
      </c>
      <c r="H3" s="5">
        <f t="shared" si="0"/>
        <v>1500</v>
      </c>
    </row>
    <row r="4" spans="1:8" ht="21" customHeight="1">
      <c r="A4" s="11">
        <v>3</v>
      </c>
      <c r="B4" s="5" t="s">
        <v>46</v>
      </c>
      <c r="C4" s="5">
        <v>43026</v>
      </c>
      <c r="D4" s="5" t="s">
        <v>47</v>
      </c>
      <c r="E4" s="5" t="s">
        <v>11</v>
      </c>
      <c r="F4" s="5">
        <v>3</v>
      </c>
      <c r="G4" s="5">
        <v>1300</v>
      </c>
      <c r="H4" s="5">
        <f t="shared" si="0"/>
        <v>3900</v>
      </c>
    </row>
    <row r="5" spans="1:8" ht="18.75">
      <c r="A5" s="11">
        <v>4</v>
      </c>
      <c r="B5" s="5" t="s">
        <v>48</v>
      </c>
      <c r="C5" s="5">
        <v>35262</v>
      </c>
      <c r="D5" s="5" t="s">
        <v>49</v>
      </c>
      <c r="E5" s="5" t="s">
        <v>43</v>
      </c>
      <c r="F5" s="5">
        <v>120</v>
      </c>
      <c r="G5" s="5">
        <v>500</v>
      </c>
      <c r="H5" s="5">
        <f t="shared" si="0"/>
        <v>60000</v>
      </c>
    </row>
    <row r="6" spans="1:8" ht="18.75">
      <c r="A6" s="11">
        <v>5</v>
      </c>
      <c r="B6" s="5" t="s">
        <v>50</v>
      </c>
      <c r="C6" s="5">
        <v>34143</v>
      </c>
      <c r="D6" s="5" t="s">
        <v>14</v>
      </c>
      <c r="E6" s="5" t="s">
        <v>11</v>
      </c>
      <c r="F6" s="5">
        <v>60</v>
      </c>
      <c r="G6" s="5">
        <v>1000</v>
      </c>
      <c r="H6" s="5">
        <f t="shared" si="0"/>
        <v>60000</v>
      </c>
    </row>
    <row r="7" spans="1:8" ht="18.75">
      <c r="A7" s="11">
        <v>6</v>
      </c>
      <c r="B7" s="5" t="s">
        <v>51</v>
      </c>
      <c r="C7" s="5">
        <v>34105</v>
      </c>
      <c r="D7" s="5" t="s">
        <v>14</v>
      </c>
      <c r="E7" s="5" t="s">
        <v>11</v>
      </c>
      <c r="F7" s="5">
        <v>60</v>
      </c>
      <c r="G7" s="5">
        <v>1400</v>
      </c>
      <c r="H7" s="5">
        <f t="shared" si="0"/>
        <v>84000</v>
      </c>
    </row>
    <row r="8" spans="1:8" ht="18.75">
      <c r="A8" s="11">
        <v>7</v>
      </c>
      <c r="B8" s="5" t="s">
        <v>52</v>
      </c>
      <c r="C8" s="5">
        <v>91916</v>
      </c>
      <c r="D8" s="5" t="s">
        <v>14</v>
      </c>
      <c r="E8" s="5" t="s">
        <v>43</v>
      </c>
      <c r="F8" s="5">
        <v>150</v>
      </c>
      <c r="G8" s="5">
        <v>40</v>
      </c>
      <c r="H8" s="5">
        <f t="shared" si="0"/>
        <v>6000</v>
      </c>
    </row>
    <row r="9" spans="1:8" ht="18.75">
      <c r="A9" s="11">
        <v>8</v>
      </c>
      <c r="B9" s="5" t="s">
        <v>53</v>
      </c>
      <c r="C9" s="5" t="s">
        <v>54</v>
      </c>
      <c r="D9" s="5" t="s">
        <v>55</v>
      </c>
      <c r="E9" s="5" t="s">
        <v>11</v>
      </c>
      <c r="F9" s="5">
        <v>46</v>
      </c>
      <c r="G9" s="5">
        <v>50</v>
      </c>
      <c r="H9" s="5">
        <f t="shared" si="0"/>
        <v>2300</v>
      </c>
    </row>
    <row r="10" spans="1:8" ht="18.75">
      <c r="A10" s="11">
        <v>9</v>
      </c>
      <c r="B10" s="5" t="s">
        <v>56</v>
      </c>
      <c r="C10" s="5" t="s">
        <v>57</v>
      </c>
      <c r="D10" s="5" t="s">
        <v>58</v>
      </c>
      <c r="E10" s="5" t="s">
        <v>11</v>
      </c>
      <c r="F10" s="5">
        <v>46</v>
      </c>
      <c r="G10" s="5">
        <v>600</v>
      </c>
      <c r="H10" s="5">
        <f t="shared" si="0"/>
        <v>27600</v>
      </c>
    </row>
    <row r="11" spans="1:8" ht="18.75">
      <c r="A11" s="11">
        <v>10</v>
      </c>
      <c r="B11" s="5" t="s">
        <v>59</v>
      </c>
      <c r="C11" s="5" t="s">
        <v>60</v>
      </c>
      <c r="D11" s="5" t="s">
        <v>14</v>
      </c>
      <c r="E11" s="5" t="s">
        <v>11</v>
      </c>
      <c r="F11" s="5">
        <v>46</v>
      </c>
      <c r="G11" s="5">
        <v>300</v>
      </c>
      <c r="H11" s="5">
        <f t="shared" si="0"/>
        <v>13800</v>
      </c>
    </row>
    <row r="12" spans="1:8" ht="18.75">
      <c r="A12" s="11">
        <v>11</v>
      </c>
      <c r="B12" s="5" t="s">
        <v>61</v>
      </c>
      <c r="C12" s="5" t="s">
        <v>62</v>
      </c>
      <c r="D12" s="5" t="s">
        <v>14</v>
      </c>
      <c r="E12" s="5" t="s">
        <v>11</v>
      </c>
      <c r="F12" s="5">
        <v>46</v>
      </c>
      <c r="G12" s="5">
        <v>100</v>
      </c>
      <c r="H12" s="5">
        <f t="shared" si="0"/>
        <v>4600</v>
      </c>
    </row>
    <row r="13" spans="1:8" ht="15">
      <c r="A13" s="1"/>
      <c r="B13" s="1"/>
      <c r="C13" s="4"/>
      <c r="D13" s="2"/>
      <c r="E13" s="2"/>
      <c r="F13" s="2"/>
      <c r="G13" s="3"/>
      <c r="H13" s="3"/>
    </row>
    <row r="14" spans="1:8" ht="15.75" customHeight="1">
      <c r="G14" s="12" t="s">
        <v>63</v>
      </c>
      <c r="H14" s="9">
        <f>SUM(H2:H12)</f>
        <v>306450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Комплект основного оборудования</vt:lpstr>
      <vt:lpstr>Кабели, трубы и фасонные издели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Viktor Gogolev</cp:lastModifiedBy>
  <dcterms:modified xsi:type="dcterms:W3CDTF">2025-12-18T18:27:58Z</dcterms:modified>
</cp:coreProperties>
</file>